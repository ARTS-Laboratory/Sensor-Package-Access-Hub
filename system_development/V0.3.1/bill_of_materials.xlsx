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ithub\Sensor-Package-Access-Hub\system_development\V0.3.1\"/>
    </mc:Choice>
  </mc:AlternateContent>
  <xr:revisionPtr revIDLastSave="0" documentId="13_ncr:1_{FE5E4ADA-0549-4EDF-861D-B013FD1FB40D}" xr6:coauthVersionLast="47" xr6:coauthVersionMax="47" xr10:uidLastSave="{00000000-0000-0000-0000-000000000000}"/>
  <bookViews>
    <workbookView xWindow="-120" yWindow="-120" windowWidth="29040" windowHeight="15840" xr2:uid="{FDAE7DA4-9528-4FC7-A320-70DA50473DCE}"/>
  </bookViews>
  <sheets>
    <sheet name="bill_of_materia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F3" i="1"/>
  <c r="F5" i="1"/>
  <c r="F6" i="1"/>
  <c r="F7" i="1"/>
  <c r="F8" i="1"/>
  <c r="F9" i="1"/>
  <c r="F10" i="1"/>
  <c r="F11" i="1"/>
  <c r="F2" i="1"/>
  <c r="F12" i="1" l="1"/>
</calcChain>
</file>

<file path=xl/sharedStrings.xml><?xml version="1.0" encoding="utf-8"?>
<sst xmlns="http://schemas.openxmlformats.org/spreadsheetml/2006/main" count="61" uniqueCount="50">
  <si>
    <t>Arduino Nano</t>
  </si>
  <si>
    <t>Micro SD card</t>
  </si>
  <si>
    <t>LED</t>
  </si>
  <si>
    <t>Resistors</t>
  </si>
  <si>
    <t>Total Cost</t>
  </si>
  <si>
    <t>Designator</t>
  </si>
  <si>
    <t>Component</t>
  </si>
  <si>
    <t>Amount</t>
  </si>
  <si>
    <t>Individual Cost</t>
  </si>
  <si>
    <t>L314ED American Opto Plus LED | Optoelectronics | DigiKey Marketplace</t>
  </si>
  <si>
    <t>C1206S104K5RACAUTO KEMET | Capacitors | DigiKey</t>
  </si>
  <si>
    <t>https://oshpark.com/</t>
  </si>
  <si>
    <t>Capacitors 0.1uF</t>
  </si>
  <si>
    <t>Capacitor 10uF</t>
  </si>
  <si>
    <t>https://www.digikey.com/en/products/detail/panasonic-electronic-components/ECE-A1EKS100B/2689095</t>
  </si>
  <si>
    <t>ECE-A1EKS100B</t>
  </si>
  <si>
    <t>Vendor 1</t>
  </si>
  <si>
    <t>Vendor 2</t>
  </si>
  <si>
    <t>Vendor 3</t>
  </si>
  <si>
    <t>https://www.lvelectronics.com/details/item?itemid=AOP%20L314ED</t>
  </si>
  <si>
    <t>https://www.mouser.com/ProductDetail/Panasonic/ECE-A1EKS100B?qs=rMMd5vBiahpNSBku%2FPA9KQ%3D%3D&amp;srsltid=AfmBOoqQ4U271ZrVJxuPMHVWnjSZpLGUJXgJG3eSAxUWLyhrYK65hiV8</t>
  </si>
  <si>
    <t>https://www.mouser.com/ProductDetail/KEMET/C1206S104K5RACAUTO?qs=ds50AKTGxA9C%252BOGFjvBCPg%3D%3D&amp;srsltid=AfmBOoqQltyUeWiBl72NEX0atiJAYoEHcEyVBj5XktYi3QvV_cm_2CP3</t>
  </si>
  <si>
    <t>Unit</t>
  </si>
  <si>
    <t>pc</t>
  </si>
  <si>
    <t>Raspberry PI 4B</t>
  </si>
  <si>
    <t>N/A</t>
  </si>
  <si>
    <t>NRF24L01+PA+LNA  2.4GHz Wireless RF Transceiver Module</t>
  </si>
  <si>
    <t>PCB</t>
  </si>
  <si>
    <t>64 / 32 GB SD card</t>
  </si>
  <si>
    <t>https://www.digikey.com/en/products/detail/raspberry-pi/SC0339L/12339165?gad_source=1&amp;gad_campaignid=20243136172&amp;gbraid=0AAAAADrbLliTb25Erv6NiD1YUmheOuryx&amp;gclid=Cj0KCQjwvJHIBhCgARIsAEQnWlDQ6JN4eg4O2KvihoihYaPILt0_g-A7s0a8kHtxZmLVeqAIM-Sh0BoaAvo5EALw_wcB&amp;gclsrc=aw.ds</t>
  </si>
  <si>
    <t>https://www.staples.com/verbatim-premium-64gb-microsdxc-memory-card-with-adapter-class-10-uhs-i-v10-44084/product_2478898</t>
  </si>
  <si>
    <t>https://www.cdw.com/product/sandisk-extreme-flash-memory-card-64-gb-microsdxc-uhs-i/7316165?pfm=srh</t>
  </si>
  <si>
    <t>L314ED 3mm RED</t>
  </si>
  <si>
    <t>DC-DC converter</t>
  </si>
  <si>
    <t>5V to 3.3V buck converter</t>
  </si>
  <si>
    <t>https://www.mouser.com/ProductDetail/Raspberry-Pi/SC01949?qs=T%252BzbugeAwjjISb%252BwlagpRw%3D%3D</t>
  </si>
  <si>
    <t>https://www.elecbee.com/en/product-detail/1100-meter-long-distance-nrf24l01-pa-lna-wireless-module-with-antenna-module_73275?utm_term=&amp;utm_campaign=&amp;utm_source=adwords&amp;utm_medium=ppc&amp;hsa_acc=9958698819&amp;hsa_cam=23146566611&amp;hsa_grp=187297116859&amp;hsa_ad=779498650524&amp;hsa_src=g&amp;hsa_tgt=pla-2511885727437&amp;hsa_kw=&amp;hsa_mt=&amp;hsa_net=adwords&amp;hsa_ver=3&amp;gad_source=1&amp;gad_campaignid=23146566611&amp;gbraid=0AAAAADGHwHYfKF0iMEZtoqyx1rWjzHw1t&amp;gclid=Cj0KCQiA5abIBhCaARIsAM3-zFXbXR-v0fRxqHBuXN-ZMrGgtzU7CUVsQzAEYIulzVkVFA95q0AEql8aAkk6EALw_wcB</t>
  </si>
  <si>
    <t>https://protosupplies.com/product/nrf24l01palna-2-4ghz-rf-wireless-module/</t>
  </si>
  <si>
    <t>https://openelab.io/products/nrf24l01-transceiver-transceiver-module?srsltid=AfmBOorW9lfupEOXFS3kU72MZQgoLedxFpkylsIVPOrEJnmP53qSnV0F</t>
  </si>
  <si>
    <t>RES 270 OHM 5% 1/4W AXIAL</t>
  </si>
  <si>
    <t>https://www.digikey.com/en/products/detail/stackpole-electronics-inc/CF14JT270R/1741362</t>
  </si>
  <si>
    <t>https://www.mouser.com/ProductDetail/YAGEO/CFR25SJT-26-270R?qs=sGAEpiMZZMsPqMdJzcrNwjRWpSA1Ui8vfWaBDCu2IB3jHFqFn4CeHg%3D%3D</t>
  </si>
  <si>
    <t>C1206S104K5RACAUTO,  0.1 µF ±10% 50V Ceramic Capacitor X7R 1206 (3216 Metric)</t>
  </si>
  <si>
    <t>https://www.digikey.com/en/products/detail/raspberry-pi/SC1642/24627138</t>
  </si>
  <si>
    <t>https://www.adafruit.com/product/6007</t>
  </si>
  <si>
    <t>https://www.digikey.com/en/products/detail/edatec/ED-PI5CASE-BS/21769634</t>
  </si>
  <si>
    <t>Raspberry PI 4B case</t>
  </si>
  <si>
    <t>Single Board Computer</t>
  </si>
  <si>
    <t>case for Single Board Computer</t>
  </si>
  <si>
    <t>Wireless transceivers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</si>
</sst>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0" xfId="0" applyAlignment="1">
      <alignment horizontal="left" wrapText="1"/>
    </xf>
    <xf numFmtId="164" fontId="0" fillId="0" borderId="0" xfId="0" applyNumberFormat="1" applyAlignment="1">
      <alignment horizontal="left" wrapText="1"/>
    </xf>
    <xf numFmtId="0" fontId="1" fillId="0" borderId="0" xfId="1" applyAlignment="1">
      <alignment horizontal="left" wrapText="1"/>
    </xf>
    <xf numFmtId="0" fontId="0" fillId="0" borderId="0" xfId="0" applyAlignment="1">
      <alignment wrapText="1"/>
    </xf>
    <xf numFmtId="164" fontId="2" fillId="0" borderId="0" xfId="0" applyNumberFormat="1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ouser.com/ProductDetail/KEMET/C1206S104K5RACAUTO?qs=ds50AKTGxA9C%252BOGFjvBCPg%3D%3D&amp;srsltid=AfmBOoqQltyUeWiBl72NEX0atiJAYoEHcEyVBj5XktYi3QvV_cm_2CP3" TargetMode="External"/><Relationship Id="rId13" Type="http://schemas.openxmlformats.org/officeDocument/2006/relationships/hyperlink" Target="https://www.elecbee.com/en/product-detail/1100-meter-long-distance-nrf24l01-pa-lna-wireless-module-with-antenna-module_73275?utm_term=&amp;utm_campaign=&amp;utm_source=adwords&amp;utm_medium=ppc&amp;hsa_acc=9958698819&amp;hsa_cam=23146566611&amp;hsa_grp=187297116859&amp;hsa_ad=779498650524&amp;hsa_src=g&amp;hsa_tgt=pla-2511885727437&amp;hsa_kw=&amp;hsa_mt=&amp;hsa_net=adwords&amp;hsa_ver=3&amp;gad_source=1&amp;gad_campaignid=23146566611&amp;gbraid=0AAAAADGHwHYfKF0iMEZtoqyx1rWjzHw1t&amp;gclid=Cj0KCQiA5abIBhCaARIsAM3-zFXbXR-v0fRxqHBuXN-ZMrGgtzU7CUVsQzAEYIulzVkVFA95q0AEql8aAkk6EALw_wcB" TargetMode="External"/><Relationship Id="rId18" Type="http://schemas.openxmlformats.org/officeDocument/2006/relationships/hyperlink" Target="https://www.digikey.com/en/products/detail/edatec/ED-PI5CASE-BS/21769634" TargetMode="External"/><Relationship Id="rId3" Type="http://schemas.openxmlformats.org/officeDocument/2006/relationships/hyperlink" Target="https://oshpark.com/" TargetMode="External"/><Relationship Id="rId7" Type="http://schemas.openxmlformats.org/officeDocument/2006/relationships/hyperlink" Target="https://www.mouser.com/ProductDetail/Panasonic/ECE-A1EKS100B?qs=rMMd5vBiahpNSBku%2FPA9KQ%3D%3D&amp;srsltid=AfmBOoqQ4U271ZrVJxuPMHVWnjSZpLGUJXgJG3eSAxUWLyhrYK65hiV8" TargetMode="External"/><Relationship Id="rId12" Type="http://schemas.openxmlformats.org/officeDocument/2006/relationships/hyperlink" Target="https://protosupplies.com/product/nrf24l01palna-2-4ghz-rf-wireless-module/" TargetMode="External"/><Relationship Id="rId17" Type="http://schemas.openxmlformats.org/officeDocument/2006/relationships/hyperlink" Target="https://www.digikey.com/en/products/detail/raspberry-pi/SC1642/24627138" TargetMode="External"/><Relationship Id="rId2" Type="http://schemas.openxmlformats.org/officeDocument/2006/relationships/hyperlink" Target="https://www.digikey.com/en/products/detail/kemet/c1206s104k5racauto/10232834" TargetMode="External"/><Relationship Id="rId16" Type="http://schemas.openxmlformats.org/officeDocument/2006/relationships/hyperlink" Target="https://www.mouser.com/ProductDetail/YAGEO/CFR25SJT-26-270R?qs=sGAEpiMZZMsPqMdJzcrNwjRWpSA1Ui8vfWaBDCu2IB3jHFqFn4CeHg%3D%3D" TargetMode="External"/><Relationship Id="rId1" Type="http://schemas.openxmlformats.org/officeDocument/2006/relationships/hyperlink" Target="https://www.digikey.com/en/products/detail/american-opto-plus-led/L314ED/13677700?s=N4IgTCBcDaIDIGYCMAWAogERAXQL5A" TargetMode="External"/><Relationship Id="rId6" Type="http://schemas.openxmlformats.org/officeDocument/2006/relationships/hyperlink" Target="https://www.lvelectronics.com/details/item?itemid=AOP%20L314ED" TargetMode="External"/><Relationship Id="rId11" Type="http://schemas.openxmlformats.org/officeDocument/2006/relationships/hyperlink" Target="https://www.mouser.com/ProductDetail/Raspberry-Pi/SC01949?qs=T%252BzbugeAwjjISb%252BwlagpRw%3D%3D" TargetMode="External"/><Relationship Id="rId5" Type="http://schemas.openxmlformats.org/officeDocument/2006/relationships/hyperlink" Target="https://www.digikey.com/en/products/detail/raspberry-pi/SC0339L/12339165?gad_source=1&amp;gad_campaignid=20243136172&amp;gbraid=0AAAAADrbLliTb25Erv6NiD1YUmheOuryx&amp;gclid=Cj0KCQjwvJHIBhCgARIsAEQnWlDQ6JN4eg4O2KvihoihYaPILt0_g-A7s0a8kHtxZmLVeqAIM-Sh0BoaAvo5EALw_wcB&amp;gclsrc=aw.ds" TargetMode="External"/><Relationship Id="rId15" Type="http://schemas.openxmlformats.org/officeDocument/2006/relationships/hyperlink" Target="https://www.digikey.com/en/products/detail/stackpole-electronics-inc/CF14JT270R/1741362" TargetMode="External"/><Relationship Id="rId10" Type="http://schemas.openxmlformats.org/officeDocument/2006/relationships/hyperlink" Target="https://www.cdw.com/product/sandisk-extreme-flash-memory-card-64-gb-microsdxc-uhs-i/7316165?pfm=srh" TargetMode="External"/><Relationship Id="rId19" Type="http://schemas.openxmlformats.org/officeDocument/2006/relationships/printerSettings" Target="../printerSettings/printerSettings1.bin"/><Relationship Id="rId4" Type="http://schemas.openxmlformats.org/officeDocument/2006/relationships/hyperlink" Target="https://www.digikey.com/en/products/detail/panasonic-electronic-components/ECE-A1EKS100B/2689095" TargetMode="External"/><Relationship Id="rId9" Type="http://schemas.openxmlformats.org/officeDocument/2006/relationships/hyperlink" Target="https://www.staples.com/verbatim-premium-64gb-microsdxc-memory-card-with-adapter-class-10-uhs-i-v10-44084/product_2478898" TargetMode="External"/><Relationship Id="rId14" Type="http://schemas.openxmlformats.org/officeDocument/2006/relationships/hyperlink" Target="https://openelab.io/products/nrf24l01-transceiver-transceiver-module?srsltid=AfmBOorW9lfupEOXFS3kU72MZQgoLedxFpkylsIVPOrEJnmP53qSnV0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3A36C-E8CE-4E50-A172-E48E2F9A45A8}">
  <dimension ref="A1:L27"/>
  <sheetViews>
    <sheetView tabSelected="1" zoomScale="115" zoomScaleNormal="115" workbookViewId="0">
      <selection activeCell="F17" sqref="F17"/>
    </sheetView>
  </sheetViews>
  <sheetFormatPr defaultColWidth="8.85546875" defaultRowHeight="15" x14ac:dyDescent="0.25"/>
  <cols>
    <col min="1" max="1" width="25.42578125" style="5" bestFit="1" customWidth="1"/>
    <col min="2" max="2" width="74" style="5" bestFit="1" customWidth="1"/>
    <col min="3" max="3" width="8.5703125" style="5" customWidth="1"/>
    <col min="4" max="4" width="7.140625" style="5" customWidth="1"/>
    <col min="5" max="5" width="12.5703125" style="5" bestFit="1" customWidth="1"/>
    <col min="6" max="6" width="9" style="5" bestFit="1" customWidth="1"/>
    <col min="7" max="7" width="69.42578125" style="5" customWidth="1"/>
    <col min="8" max="8" width="76" style="5" customWidth="1"/>
    <col min="9" max="9" width="83.5703125" style="5" customWidth="1"/>
    <col min="10" max="10" width="62.5703125" style="5" customWidth="1"/>
    <col min="11" max="11" width="55.85546875" style="5" customWidth="1"/>
    <col min="12" max="12" width="51" style="5" customWidth="1"/>
    <col min="13" max="16384" width="8.85546875" style="5"/>
  </cols>
  <sheetData>
    <row r="1" spans="1:12" ht="27.95" customHeight="1" x14ac:dyDescent="0.25">
      <c r="A1" s="1" t="s">
        <v>5</v>
      </c>
      <c r="B1" s="1" t="s">
        <v>6</v>
      </c>
      <c r="C1" s="1" t="s">
        <v>7</v>
      </c>
      <c r="D1" s="1" t="s">
        <v>22</v>
      </c>
      <c r="E1" s="1" t="s">
        <v>8</v>
      </c>
      <c r="F1" s="1" t="s">
        <v>4</v>
      </c>
      <c r="G1" s="1" t="s">
        <v>16</v>
      </c>
      <c r="H1" s="1" t="s">
        <v>17</v>
      </c>
      <c r="I1" s="1" t="s">
        <v>18</v>
      </c>
      <c r="J1" s="1"/>
      <c r="K1" s="1"/>
      <c r="L1" s="1"/>
    </row>
    <row r="2" spans="1:12" s="2" customFormat="1" ht="18" customHeight="1" x14ac:dyDescent="0.25">
      <c r="A2" s="2" t="s">
        <v>0</v>
      </c>
      <c r="B2" s="2" t="s">
        <v>0</v>
      </c>
      <c r="C2" s="2">
        <v>1</v>
      </c>
      <c r="D2" s="2" t="s">
        <v>23</v>
      </c>
      <c r="E2" s="3">
        <v>25.7</v>
      </c>
      <c r="F2" s="3">
        <f>C2*E2</f>
        <v>25.7</v>
      </c>
      <c r="G2" s="4"/>
      <c r="H2" s="4"/>
      <c r="I2" s="4"/>
    </row>
    <row r="3" spans="1:12" s="2" customFormat="1" ht="15" customHeight="1" x14ac:dyDescent="0.25">
      <c r="A3" s="2" t="s">
        <v>47</v>
      </c>
      <c r="B3" s="2" t="s">
        <v>24</v>
      </c>
      <c r="C3" s="2">
        <v>1</v>
      </c>
      <c r="D3" s="2" t="s">
        <v>23</v>
      </c>
      <c r="E3" s="3">
        <v>50</v>
      </c>
      <c r="F3" s="3">
        <f t="shared" ref="F3:F11" si="0">C3*E3</f>
        <v>50</v>
      </c>
      <c r="G3" s="4" t="s">
        <v>43</v>
      </c>
      <c r="H3" s="4" t="s">
        <v>44</v>
      </c>
      <c r="I3" s="4" t="s">
        <v>35</v>
      </c>
    </row>
    <row r="4" spans="1:12" s="2" customFormat="1" ht="15" customHeight="1" x14ac:dyDescent="0.25">
      <c r="A4" s="2" t="s">
        <v>48</v>
      </c>
      <c r="B4" s="2" t="s">
        <v>46</v>
      </c>
      <c r="C4" s="2">
        <v>1</v>
      </c>
      <c r="D4" s="2" t="s">
        <v>23</v>
      </c>
      <c r="E4" s="3">
        <v>16</v>
      </c>
      <c r="F4" s="3">
        <f t="shared" si="0"/>
        <v>16</v>
      </c>
      <c r="G4" s="4" t="s">
        <v>45</v>
      </c>
      <c r="H4" s="4"/>
      <c r="I4" s="4"/>
    </row>
    <row r="5" spans="1:12" s="2" customFormat="1" ht="15" customHeight="1" x14ac:dyDescent="0.25">
      <c r="A5" s="2" t="s">
        <v>49</v>
      </c>
      <c r="B5" s="2" t="s">
        <v>26</v>
      </c>
      <c r="C5" s="2">
        <v>1</v>
      </c>
      <c r="D5" s="2" t="s">
        <v>23</v>
      </c>
      <c r="E5" s="3">
        <v>3.95</v>
      </c>
      <c r="F5" s="3">
        <f t="shared" si="0"/>
        <v>3.95</v>
      </c>
      <c r="G5" s="4" t="s">
        <v>37</v>
      </c>
      <c r="H5" s="4" t="s">
        <v>36</v>
      </c>
      <c r="I5" s="4" t="s">
        <v>38</v>
      </c>
    </row>
    <row r="6" spans="1:12" s="2" customFormat="1" ht="15" customHeight="1" x14ac:dyDescent="0.25">
      <c r="A6" s="2" t="s">
        <v>25</v>
      </c>
      <c r="B6" s="2" t="s">
        <v>27</v>
      </c>
      <c r="C6" s="2">
        <v>1</v>
      </c>
      <c r="D6" s="2" t="s">
        <v>23</v>
      </c>
      <c r="E6" s="3">
        <v>8.23</v>
      </c>
      <c r="F6" s="3">
        <f t="shared" si="0"/>
        <v>8.23</v>
      </c>
      <c r="G6" s="4" t="s">
        <v>11</v>
      </c>
    </row>
    <row r="7" spans="1:12" s="2" customFormat="1" ht="15" customHeight="1" x14ac:dyDescent="0.25">
      <c r="A7" s="2" t="s">
        <v>1</v>
      </c>
      <c r="B7" s="2" t="s">
        <v>28</v>
      </c>
      <c r="C7" s="2">
        <v>1</v>
      </c>
      <c r="D7" s="2" t="s">
        <v>23</v>
      </c>
      <c r="E7" s="3">
        <v>6.6</v>
      </c>
      <c r="F7" s="3">
        <f t="shared" si="0"/>
        <v>6.6</v>
      </c>
      <c r="G7" s="4" t="s">
        <v>29</v>
      </c>
      <c r="H7" s="4" t="s">
        <v>30</v>
      </c>
      <c r="I7" s="4" t="s">
        <v>31</v>
      </c>
      <c r="J7" s="4"/>
    </row>
    <row r="8" spans="1:12" s="2" customFormat="1" ht="15" customHeight="1" x14ac:dyDescent="0.25">
      <c r="A8" s="2" t="s">
        <v>2</v>
      </c>
      <c r="B8" s="2" t="s">
        <v>32</v>
      </c>
      <c r="C8" s="2">
        <v>1</v>
      </c>
      <c r="D8" s="2" t="s">
        <v>23</v>
      </c>
      <c r="E8" s="3">
        <v>0.2</v>
      </c>
      <c r="F8" s="3">
        <f t="shared" si="0"/>
        <v>0.2</v>
      </c>
      <c r="G8" s="4" t="s">
        <v>9</v>
      </c>
      <c r="H8" s="4" t="s">
        <v>19</v>
      </c>
    </row>
    <row r="9" spans="1:12" s="2" customFormat="1" ht="15" customHeight="1" x14ac:dyDescent="0.25">
      <c r="A9" s="2" t="s">
        <v>3</v>
      </c>
      <c r="B9" s="2" t="s">
        <v>39</v>
      </c>
      <c r="C9" s="2">
        <v>1</v>
      </c>
      <c r="D9" s="2" t="s">
        <v>23</v>
      </c>
      <c r="E9" s="3">
        <v>0.1</v>
      </c>
      <c r="F9" s="3">
        <f t="shared" si="0"/>
        <v>0.1</v>
      </c>
      <c r="G9" s="4" t="s">
        <v>40</v>
      </c>
      <c r="H9" s="4" t="s">
        <v>41</v>
      </c>
    </row>
    <row r="10" spans="1:12" s="2" customFormat="1" ht="15" customHeight="1" x14ac:dyDescent="0.25">
      <c r="A10" s="2" t="s">
        <v>13</v>
      </c>
      <c r="B10" s="2" t="s">
        <v>15</v>
      </c>
      <c r="C10" s="2">
        <v>1</v>
      </c>
      <c r="D10" s="2" t="s">
        <v>23</v>
      </c>
      <c r="E10" s="3">
        <v>0.26</v>
      </c>
      <c r="F10" s="3">
        <f t="shared" si="0"/>
        <v>0.26</v>
      </c>
      <c r="G10" s="4" t="s">
        <v>14</v>
      </c>
      <c r="H10" s="4" t="s">
        <v>20</v>
      </c>
    </row>
    <row r="11" spans="1:12" s="2" customFormat="1" ht="15" customHeight="1" x14ac:dyDescent="0.25">
      <c r="A11" s="2" t="s">
        <v>12</v>
      </c>
      <c r="B11" s="2" t="s">
        <v>42</v>
      </c>
      <c r="C11" s="2">
        <v>4</v>
      </c>
      <c r="D11" s="2" t="s">
        <v>23</v>
      </c>
      <c r="E11" s="3">
        <v>0.48</v>
      </c>
      <c r="F11" s="3">
        <f t="shared" si="0"/>
        <v>1.92</v>
      </c>
      <c r="G11" s="4" t="s">
        <v>10</v>
      </c>
      <c r="H11" s="4" t="s">
        <v>21</v>
      </c>
    </row>
    <row r="12" spans="1:12" s="2" customFormat="1" ht="15" customHeight="1" x14ac:dyDescent="0.25">
      <c r="A12" s="5" t="s">
        <v>33</v>
      </c>
      <c r="B12" s="5" t="s">
        <v>34</v>
      </c>
      <c r="C12" s="5"/>
      <c r="D12" s="5"/>
      <c r="E12" s="6" t="s">
        <v>4</v>
      </c>
      <c r="F12" s="6">
        <f>SUM(F2:F11)</f>
        <v>112.96000000000001</v>
      </c>
      <c r="G12" s="5"/>
      <c r="H12" s="5"/>
      <c r="I12" s="5"/>
      <c r="J12" s="5"/>
      <c r="K12" s="5"/>
      <c r="L12" s="5"/>
    </row>
    <row r="13" spans="1:12" s="2" customFormat="1" ht="15" customHeight="1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s="2" customFormat="1" ht="15" customHeight="1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1:12" s="2" customFormat="1" ht="15" customHeight="1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</row>
    <row r="16" spans="1:12" s="2" customFormat="1" ht="15" customHeight="1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</row>
    <row r="17" spans="1:12" s="2" customFormat="1" ht="15" customHeight="1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2" s="2" customFormat="1" ht="15" customHeight="1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2" s="2" customFormat="1" ht="15" customHeight="1" x14ac:dyDescent="0.2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spans="1:12" s="2" customFormat="1" ht="15" customHeight="1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2" s="2" customFormat="1" ht="15" customHeight="1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2" s="2" customFormat="1" ht="15" customHeight="1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1:12" s="2" customFormat="1" ht="15" customHeight="1" x14ac:dyDescent="0.25">
      <c r="A23" s="5"/>
      <c r="B23" s="5"/>
      <c r="C23" s="5"/>
      <c r="D23" s="5"/>
      <c r="E23" s="5"/>
      <c r="F23" s="5"/>
      <c r="H23" s="5"/>
      <c r="I23" s="5"/>
      <c r="J23" s="5"/>
      <c r="K23" s="5"/>
      <c r="L23" s="5"/>
    </row>
    <row r="24" spans="1:12" s="2" customFormat="1" ht="15" customHeight="1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 s="2" customFormat="1" ht="15" customHeight="1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spans="1:12" s="2" customFormat="1" ht="32.450000000000003" customHeight="1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spans="1:12" s="2" customFormat="1" ht="15" customHeight="1" x14ac:dyDescent="0.2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</row>
  </sheetData>
  <hyperlinks>
    <hyperlink ref="G8" r:id="rId1" display="https://www.digikey.com/en/products/detail/american-opto-plus-led/L314ED/13677700?s=N4IgTCBcDaIDIGYCMAWAogERAXQL5A" xr:uid="{EB1FB783-CD78-4F2E-ADAE-2EFC2E0C050D}"/>
    <hyperlink ref="G11" r:id="rId2" display="https://www.digikey.com/en/products/detail/kemet/c1206s104k5racauto/10232834" xr:uid="{CDDFAE49-11BE-4283-9E44-D17951ACE335}"/>
    <hyperlink ref="G6" r:id="rId3" xr:uid="{98CBDFFF-5BC0-4691-985C-193C55CD2A4F}"/>
    <hyperlink ref="G10" r:id="rId4" xr:uid="{9AFC6348-0E57-4A67-A197-41D4FD45794D}"/>
    <hyperlink ref="G7" r:id="rId5" display="https://www.digikey.com/en/products/detail/raspberry-pi/SC0339L/12339165?gad_source=1&amp;gad_campaignid=20243136172&amp;gbraid=0AAAAADrbLliTb25Erv6NiD1YUmheOuryx&amp;gclid=Cj0KCQjwvJHIBhCgARIsAEQnWlDQ6JN4eg4O2KvihoihYaPILt0_g-A7s0a8kHtxZmLVeqAIM-Sh0BoaAvo5EALw_wcB&amp;gclsrc=aw.ds" xr:uid="{61E141EF-661E-4EBA-8C6F-96D65CA0409E}"/>
    <hyperlink ref="H8" r:id="rId6" xr:uid="{60BE19F9-B00E-4A38-93C1-3776CD048CE8}"/>
    <hyperlink ref="H10" r:id="rId7" xr:uid="{3D5F3E6A-6737-45F8-8535-573468026212}"/>
    <hyperlink ref="H11" r:id="rId8" xr:uid="{95C484F2-35E3-4593-A56E-D63C69037E07}"/>
    <hyperlink ref="H7" r:id="rId9" xr:uid="{347F1FD8-B28B-4914-AB8E-632B5A9DF65D}"/>
    <hyperlink ref="I7" r:id="rId10" xr:uid="{44996A18-6D4F-4B97-A45D-678CF58A7F3D}"/>
    <hyperlink ref="I3" r:id="rId11" xr:uid="{D562EEB9-C96C-430A-A068-DC1FB5CC4C0B}"/>
    <hyperlink ref="G5" r:id="rId12" xr:uid="{08D8A779-6421-4A7D-93A0-92A87D2976CE}"/>
    <hyperlink ref="H5" r:id="rId13" display="https://www.elecbee.com/en/product-detail/1100-meter-long-distance-nrf24l01-pa-lna-wireless-module-with-antenna-module_73275?utm_term=&amp;utm_campaign=&amp;utm_source=adwords&amp;utm_medium=ppc&amp;hsa_acc=9958698819&amp;hsa_cam=23146566611&amp;hsa_grp=187297116859&amp;hsa_ad=779498650524&amp;hsa_src=g&amp;hsa_tgt=pla-2511885727437&amp;hsa_kw=&amp;hsa_mt=&amp;hsa_net=adwords&amp;hsa_ver=3&amp;gad_source=1&amp;gad_campaignid=23146566611&amp;gbraid=0AAAAADGHwHYfKF0iMEZtoqyx1rWjzHw1t&amp;gclid=Cj0KCQiA5abIBhCaARIsAM3-zFXbXR-v0fRxqHBuXN-ZMrGgtzU7CUVsQzAEYIulzVkVFA95q0AEql8aAkk6EALw_wcB" xr:uid="{51F6E1BD-05CB-4E6F-B0AD-45CBC164CA2B}"/>
    <hyperlink ref="I5" r:id="rId14" xr:uid="{42ED7D58-C218-4B83-AF69-849F1693EE51}"/>
    <hyperlink ref="G9" r:id="rId15" xr:uid="{567FA867-CBE5-4335-9DB4-2DB3C6277731}"/>
    <hyperlink ref="H9" r:id="rId16" xr:uid="{A36A03ED-A124-4B3B-8FE2-AEA59150FA52}"/>
    <hyperlink ref="G3" r:id="rId17" xr:uid="{5F161355-9104-4121-A6E5-DCB52D413780}"/>
    <hyperlink ref="G4" r:id="rId18" xr:uid="{74708F2C-38FA-40F7-B94E-BFB0E11AFC7C}"/>
  </hyperlinks>
  <pageMargins left="0.7" right="0.7" top="0.75" bottom="0.75" header="0.3" footer="0.3"/>
  <pageSetup orientation="portrait" r:id="rId1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bill_of_materials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Hancock, Dan</dc:creator>
  <cp:lastModifiedBy>Downey, Austin</cp:lastModifiedBy>
  <cp:lastPrinted>2025-05-01T19:35:57Z</cp:lastPrinted>
  <dcterms:created xsi:type="dcterms:W3CDTF">2025-03-06T14:44:50Z</dcterms:created>
  <dcterms:modified xsi:type="dcterms:W3CDTF">2025-11-05T21:40:39Z</dcterms:modified>
</cp:coreProperties>
</file>